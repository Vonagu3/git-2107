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5840" yWindow="0" windowWidth="38400" windowHeight="21600" tabRatio="600" firstSheet="0" activeTab="1" autoFilterDateGrouping="1"/>
  </bookViews>
  <sheets>
    <sheet name="Так бывает в Excel" sheetId="1" state="visible" r:id="rId1"/>
    <sheet name="формулы" sheetId="2" state="visible" r:id="rId2"/>
    <sheet name="Так в базе (pitomcy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3"/>
    </font>
    <font>
      <name val="Arial"/>
      <family val="2"/>
      <sz val="13"/>
    </font>
    <font>
      <name val="Arial"/>
      <family val="2"/>
      <b val="1"/>
      <color rgb="FFC00000"/>
      <sz val="13"/>
    </font>
    <font>
      <name val="Arial"/>
      <family val="2"/>
      <i val="1"/>
      <color rgb="FF595959"/>
      <sz val="13"/>
    </font>
    <font>
      <name val="Arial"/>
      <family val="2"/>
      <i val="1"/>
      <color rgb="FF7F6000"/>
      <sz val="11"/>
    </font>
    <font>
      <name val="Arial"/>
      <family val="2"/>
      <i val="1"/>
      <color rgb="FFA6A6A6"/>
      <sz val="13"/>
    </font>
    <font>
      <name val="Arial"/>
      <family val="2"/>
      <b val="1"/>
      <color rgb="FF00803C"/>
      <sz val="13"/>
    </font>
    <font>
      <name val="Arial"/>
      <family val="2"/>
      <i val="1"/>
      <color rgb="FF595959"/>
      <sz val="11"/>
    </font>
    <font>
      <name val="Arial"/>
      <family val="2"/>
      <b val="1"/>
      <sz val="14"/>
    </font>
    <font>
      <name val="Arial"/>
      <family val="2"/>
      <b val="1"/>
      <sz val="12"/>
    </font>
    <font>
      <name val="Arial"/>
      <family val="2"/>
      <sz val="12"/>
    </font>
  </fonts>
  <fills count="6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2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0" fontId="5" fillId="0" borderId="0" pivotButton="0" quotePrefix="0" xfId="0"/>
    <xf numFmtId="0" fontId="6" fillId="3" borderId="1" pivotButton="0" quotePrefix="0" xfId="0"/>
    <xf numFmtId="0" fontId="7" fillId="0" borderId="1" pivotButton="0" quotePrefix="0" xfId="0"/>
    <xf numFmtId="164" fontId="8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12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4" borderId="3" pivotButton="0" quotePrefix="0" xfId="0"/>
    <xf numFmtId="0" fontId="0" fillId="4" borderId="4" pivotButton="0" quotePrefix="0" xfId="0"/>
    <xf numFmtId="0" fontId="0" fillId="5" borderId="5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5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2" fontId="3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zoomScale="210" zoomScaleNormal="150" workbookViewId="0">
      <selection activeCell="C13" sqref="C13"/>
    </sheetView>
  </sheetViews>
  <sheetFormatPr baseColWidth="10" defaultColWidth="8.83203125" defaultRowHeight="15"/>
  <cols>
    <col width="14" customWidth="1" style="25" min="1" max="2"/>
    <col width="12" customWidth="1" style="25" min="3" max="4"/>
    <col width="22" customWidth="1" style="25" min="5" max="5"/>
  </cols>
  <sheetData>
    <row r="1" ht="20" customHeight="1" s="25">
      <c r="A1" s="1" t="inlineStr">
        <is>
          <t>Питомцы кружка</t>
        </is>
      </c>
    </row>
    <row r="3" ht="17" customHeight="1" s="25">
      <c r="A3" s="2" t="inlineStr">
        <is>
          <t>Кличка</t>
        </is>
      </c>
      <c r="B3" s="2" t="inlineStr">
        <is>
          <t>Животное</t>
        </is>
      </c>
      <c r="C3" s="2" t="inlineStr">
        <is>
          <t>Возраст</t>
        </is>
      </c>
      <c r="D3" s="2" t="inlineStr">
        <is>
          <t>Хозяин</t>
        </is>
      </c>
      <c r="E3" s="2" t="inlineStr">
        <is>
          <t>Телефон хозяина</t>
        </is>
      </c>
    </row>
    <row r="4" ht="17" customHeight="1" s="25">
      <c r="A4" s="3" t="inlineStr">
        <is>
          <t>Барсик</t>
        </is>
      </c>
      <c r="B4" s="3" t="inlineStr">
        <is>
          <t>кот</t>
        </is>
      </c>
      <c r="C4" s="26" t="n">
        <v>3</v>
      </c>
      <c r="D4" s="3" t="inlineStr">
        <is>
          <t>Аня</t>
        </is>
      </c>
      <c r="E4" s="3" t="inlineStr">
        <is>
          <t>+7 900 111-22-33</t>
        </is>
      </c>
    </row>
    <row r="5" ht="17" customHeight="1" s="25">
      <c r="A5" s="3" t="inlineStr">
        <is>
          <t>Рекс</t>
        </is>
      </c>
      <c r="B5" s="3" t="inlineStr">
        <is>
          <t>Собака</t>
        </is>
      </c>
      <c r="C5" s="26" t="inlineStr">
        <is>
          <t>5 лет</t>
        </is>
      </c>
      <c r="D5" s="3" t="inlineStr">
        <is>
          <t>Миша</t>
        </is>
      </c>
      <c r="E5" s="3" t="inlineStr">
        <is>
          <t>89001234567</t>
        </is>
      </c>
    </row>
    <row r="6" ht="17" customHeight="1" s="25">
      <c r="A6" s="3" t="inlineStr">
        <is>
          <t>Кеша</t>
        </is>
      </c>
      <c r="B6" s="3" t="inlineStr">
        <is>
          <t>попугай</t>
        </is>
      </c>
      <c r="C6" s="26" t="inlineStr">
        <is>
          <t>два</t>
        </is>
      </c>
      <c r="D6" s="3" t="n"/>
      <c r="E6" s="3" t="n"/>
    </row>
    <row r="7" ht="17" customHeight="1" s="25">
      <c r="A7" s="3" t="inlineStr">
        <is>
          <t>Мурка</t>
        </is>
      </c>
      <c r="B7" s="3" t="inlineStr">
        <is>
          <t>кошка</t>
        </is>
      </c>
      <c r="C7" s="26" t="inlineStr">
        <is>
          <t>7 лет</t>
        </is>
      </c>
      <c r="D7" s="3" t="inlineStr">
        <is>
          <t>Аня</t>
        </is>
      </c>
      <c r="E7" s="3" t="inlineStr">
        <is>
          <t>8-900-111-22-33</t>
        </is>
      </c>
    </row>
    <row r="8" ht="17" customHeight="1" s="25">
      <c r="A8" s="3" t="inlineStr">
        <is>
          <t>Шарик</t>
        </is>
      </c>
      <c r="B8" s="3" t="inlineStr">
        <is>
          <t xml:space="preserve">собака </t>
        </is>
      </c>
      <c r="C8" s="26" t="n">
        <v>1</v>
      </c>
      <c r="D8" s="3" t="inlineStr">
        <is>
          <t>?</t>
        </is>
      </c>
      <c r="E8" s="3" t="n"/>
    </row>
    <row r="9" ht="17" customHeight="1" s="25">
      <c r="A9" s="3" t="inlineStr">
        <is>
          <t>Граф</t>
        </is>
      </c>
      <c r="B9" s="3" t="inlineStr">
        <is>
          <t>пёс</t>
        </is>
      </c>
      <c r="C9" s="26" t="n">
        <v>9</v>
      </c>
      <c r="D9" s="3" t="inlineStr">
        <is>
          <t>Петя</t>
        </is>
      </c>
      <c r="E9" s="3" t="inlineStr">
        <is>
          <t>+79005556677</t>
        </is>
      </c>
    </row>
    <row r="10" ht="17" customHeight="1" s="25">
      <c r="A10" s="3" t="inlineStr">
        <is>
          <t>Барсик</t>
        </is>
      </c>
      <c r="B10" s="3" t="inlineStr">
        <is>
          <t>кот12</t>
        </is>
      </c>
      <c r="C10" s="26" t="n">
        <v>3</v>
      </c>
      <c r="D10" s="3" t="inlineStr">
        <is>
          <t>Аня</t>
        </is>
      </c>
      <c r="E10" s="3" t="inlineStr">
        <is>
          <t>+7 900 111-22-33</t>
        </is>
      </c>
    </row>
    <row r="12" ht="17" customHeight="1" s="25">
      <c r="A12" s="4" t="inlineStr">
        <is>
          <t>Средний возраст:</t>
        </is>
      </c>
      <c r="C12" s="5">
        <f>AVERAGE(C4:C10)</f>
        <v/>
      </c>
    </row>
    <row r="13" ht="17" customHeight="1" s="25">
      <c r="A13" s="4" t="inlineStr">
        <is>
          <t>Сколько собак:</t>
        </is>
      </c>
      <c r="C13" s="6">
        <f>COUNTIF(B4:B10,"собака")</f>
        <v/>
      </c>
    </row>
    <row r="15" ht="17" customHeight="1" s="25">
      <c r="A15" s="7" t="inlineStr">
        <is>
          <t>Вопрос классу: что здесь не так? Сколько на самом деле питомцев, собак, какой средний возраст?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tabSelected="1" zoomScale="214" workbookViewId="0">
      <selection activeCell="F8" sqref="F8"/>
    </sheetView>
  </sheetViews>
  <sheetFormatPr baseColWidth="10" defaultRowHeight="15"/>
  <cols>
    <col width="12.5" bestFit="1" customWidth="1" style="25" min="1" max="1"/>
    <col width="8.1640625" bestFit="1" customWidth="1" style="25" min="2" max="2"/>
    <col width="11.1640625" bestFit="1" customWidth="1" style="25" min="3" max="3"/>
    <col width="11.83203125" bestFit="1" customWidth="1" style="25" min="4" max="6"/>
    <col width="10.83203125" bestFit="1" customWidth="1" style="25" min="7" max="7"/>
    <col width="11.83203125" bestFit="1" customWidth="1" style="25" min="8" max="10"/>
    <col width="11.83203125" customWidth="1" style="25" min="11" max="11"/>
  </cols>
  <sheetData>
    <row r="1">
      <c r="A1" s="16" t="n">
        <v>1</v>
      </c>
      <c r="B1" s="17" t="n">
        <v>1</v>
      </c>
      <c r="C1" s="17" t="n">
        <v>2</v>
      </c>
      <c r="D1" s="17" t="n">
        <v>3</v>
      </c>
      <c r="E1" s="17" t="n">
        <v>4</v>
      </c>
      <c r="F1" s="17" t="n">
        <v>5</v>
      </c>
      <c r="G1" s="17" t="n">
        <v>6</v>
      </c>
      <c r="H1" s="17" t="n">
        <v>7</v>
      </c>
      <c r="I1" s="17" t="n">
        <v>8</v>
      </c>
      <c r="J1" s="17" t="n">
        <v>9</v>
      </c>
      <c r="K1" s="18" t="n">
        <v>10</v>
      </c>
      <c r="L1" t="inlineStr">
        <is>
          <t>Суммы</t>
        </is>
      </c>
    </row>
    <row r="2">
      <c r="A2" s="19" t="n">
        <v>1</v>
      </c>
      <c r="B2">
        <f>B$1*$A2</f>
        <v/>
      </c>
      <c r="C2">
        <f>C$1*$A2</f>
        <v/>
      </c>
      <c r="D2">
        <f>D$1*$A2</f>
        <v/>
      </c>
      <c r="E2">
        <f>E$1*$A2</f>
        <v/>
      </c>
      <c r="F2">
        <f>F$1*$A2</f>
        <v/>
      </c>
      <c r="G2">
        <f>G$1*$A2</f>
        <v/>
      </c>
      <c r="H2">
        <f>H$1*$A2</f>
        <v/>
      </c>
      <c r="I2">
        <f>I$1*$A2</f>
        <v/>
      </c>
      <c r="J2">
        <f>J$1*$A2</f>
        <v/>
      </c>
      <c r="K2" s="21">
        <f>K$1*$A2</f>
        <v/>
      </c>
      <c r="L2">
        <f>SUM(B2:K2)</f>
        <v/>
      </c>
    </row>
    <row r="3">
      <c r="A3" s="19" t="n">
        <v>2</v>
      </c>
      <c r="B3">
        <f>B$1*$A3</f>
        <v/>
      </c>
      <c r="C3">
        <f>C$1*$A3</f>
        <v/>
      </c>
      <c r="D3">
        <f>D$1*$A3</f>
        <v/>
      </c>
      <c r="E3">
        <f>E$1*$A3</f>
        <v/>
      </c>
      <c r="F3">
        <f>F$1*$A3</f>
        <v/>
      </c>
      <c r="G3">
        <f>G$1*$A3</f>
        <v/>
      </c>
      <c r="H3">
        <f>H$1*$A3</f>
        <v/>
      </c>
      <c r="I3">
        <f>I$1*$A3</f>
        <v/>
      </c>
      <c r="J3">
        <f>J$1*$A3</f>
        <v/>
      </c>
      <c r="K3" s="21">
        <f>K$1*$A3</f>
        <v/>
      </c>
      <c r="L3">
        <f>SUM(B3:K3)</f>
        <v/>
      </c>
      <c r="M3" t="n">
        <v>1</v>
      </c>
      <c r="N3" t="n">
        <v>2</v>
      </c>
      <c r="O3" t="n">
        <v>4</v>
      </c>
      <c r="P3" t="n">
        <v>5.33333333333333</v>
      </c>
    </row>
    <row r="4">
      <c r="A4" s="19" t="n">
        <v>3</v>
      </c>
      <c r="B4">
        <f>B$1*$A4</f>
        <v/>
      </c>
      <c r="C4">
        <f>C$1*$A4</f>
        <v/>
      </c>
      <c r="D4">
        <f>D$1*$A4</f>
        <v/>
      </c>
      <c r="E4">
        <f>E$1*$A4</f>
        <v/>
      </c>
      <c r="F4">
        <f>F$1*$A4</f>
        <v/>
      </c>
      <c r="G4">
        <f>G$1*$A4</f>
        <v/>
      </c>
      <c r="H4">
        <f>H$1*$A4</f>
        <v/>
      </c>
      <c r="I4">
        <f>I$1*$A4</f>
        <v/>
      </c>
      <c r="J4">
        <f>J$1*$A4</f>
        <v/>
      </c>
      <c r="K4" s="21">
        <f>K$1*$A4</f>
        <v/>
      </c>
      <c r="L4">
        <f>SUM(B4:K4)</f>
        <v/>
      </c>
    </row>
    <row r="5">
      <c r="A5" s="19" t="n">
        <v>4</v>
      </c>
      <c r="B5">
        <f>B$1*$A5</f>
        <v/>
      </c>
      <c r="C5">
        <f>C$1*$A5</f>
        <v/>
      </c>
      <c r="D5">
        <f>D$1*$A5</f>
        <v/>
      </c>
      <c r="E5">
        <f>E$1*$A5</f>
        <v/>
      </c>
      <c r="F5">
        <f>F$1*$A5</f>
        <v/>
      </c>
      <c r="G5">
        <f>G$1*$A5</f>
        <v/>
      </c>
      <c r="H5">
        <f>H$1*$A5</f>
        <v/>
      </c>
      <c r="I5">
        <f>I$1*$A5</f>
        <v/>
      </c>
      <c r="J5">
        <f>J$1*$A5</f>
        <v/>
      </c>
      <c r="K5" s="21">
        <f>K$1*$A5</f>
        <v/>
      </c>
      <c r="L5">
        <f>SUM(B5:K5)</f>
        <v/>
      </c>
      <c r="M5" t="n">
        <v>1</v>
      </c>
    </row>
    <row r="6">
      <c r="A6" s="19" t="n">
        <v>5</v>
      </c>
      <c r="B6">
        <f>B$1*$A6</f>
        <v/>
      </c>
      <c r="C6">
        <f>C$1*$A6</f>
        <v/>
      </c>
      <c r="D6">
        <f>D$1*$A6</f>
        <v/>
      </c>
      <c r="E6">
        <f>E$1*$A6</f>
        <v/>
      </c>
      <c r="F6">
        <f>F$1*$A6</f>
        <v/>
      </c>
      <c r="G6">
        <f>G$1*$A6</f>
        <v/>
      </c>
      <c r="H6">
        <f>H$1*$A6</f>
        <v/>
      </c>
      <c r="I6">
        <f>I$1*$A6</f>
        <v/>
      </c>
      <c r="J6">
        <f>J$1*$A6</f>
        <v/>
      </c>
      <c r="K6" s="21">
        <f>K$1*$A6</f>
        <v/>
      </c>
      <c r="L6">
        <f>SUM(B6:K6)</f>
        <v/>
      </c>
      <c r="M6" t="n">
        <v>2</v>
      </c>
    </row>
    <row r="7">
      <c r="A7" s="19" t="n">
        <v>6</v>
      </c>
      <c r="B7">
        <f>B$1*$A7</f>
        <v/>
      </c>
      <c r="C7">
        <f>C$1*$A7</f>
        <v/>
      </c>
      <c r="D7">
        <f>D$1*$A7</f>
        <v/>
      </c>
      <c r="E7">
        <f>E$1*$A7</f>
        <v/>
      </c>
      <c r="F7">
        <f>F$1*$A7</f>
        <v/>
      </c>
      <c r="G7">
        <f>G$1*$A7</f>
        <v/>
      </c>
      <c r="H7">
        <f>H$1*$A7</f>
        <v/>
      </c>
      <c r="I7">
        <f>I$1*$A7</f>
        <v/>
      </c>
      <c r="J7">
        <f>J$1*$A7</f>
        <v/>
      </c>
      <c r="K7" s="21">
        <f>K$1*$A7</f>
        <v/>
      </c>
      <c r="L7">
        <f>SUM(B7:K7)</f>
        <v/>
      </c>
      <c r="M7" t="n">
        <v>4</v>
      </c>
    </row>
    <row r="8">
      <c r="A8" s="19" t="n">
        <v>7</v>
      </c>
      <c r="B8">
        <f>B$1*$A8</f>
        <v/>
      </c>
      <c r="C8">
        <f>C$1*$A8</f>
        <v/>
      </c>
      <c r="D8">
        <f>D$1*$A8</f>
        <v/>
      </c>
      <c r="E8">
        <f>E$1*$A8</f>
        <v/>
      </c>
      <c r="F8">
        <f>F$1*$A8</f>
        <v/>
      </c>
      <c r="G8">
        <f>G$1*$A8</f>
        <v/>
      </c>
      <c r="H8">
        <f>H$1*$A8</f>
        <v/>
      </c>
      <c r="I8">
        <f>I$1*$A8</f>
        <v/>
      </c>
      <c r="J8">
        <f>J$1*$A8</f>
        <v/>
      </c>
      <c r="K8" s="21">
        <f>K$1*$A8</f>
        <v/>
      </c>
      <c r="L8">
        <f>SUM(B8:K8)</f>
        <v/>
      </c>
      <c r="M8" t="n">
        <v>5.33333333333333</v>
      </c>
    </row>
    <row r="9">
      <c r="A9" s="19" t="n">
        <v>8</v>
      </c>
      <c r="B9">
        <f>B$1*$A9</f>
        <v/>
      </c>
      <c r="C9">
        <f>C$1*$A9</f>
        <v/>
      </c>
      <c r="D9">
        <f>D$1*$A9</f>
        <v/>
      </c>
      <c r="E9">
        <f>E$1*$A9</f>
        <v/>
      </c>
      <c r="F9">
        <f>F$1*$A9</f>
        <v/>
      </c>
      <c r="G9">
        <f>G$1*$A9</f>
        <v/>
      </c>
      <c r="H9">
        <f>H$1*$A9</f>
        <v/>
      </c>
      <c r="I9">
        <f>I$1*$A9</f>
        <v/>
      </c>
      <c r="J9">
        <f>J$1*$A9</f>
        <v/>
      </c>
      <c r="K9" s="21">
        <f>K$1*$A9</f>
        <v/>
      </c>
      <c r="L9">
        <f>SUM(B9:K9)</f>
        <v/>
      </c>
    </row>
    <row r="10">
      <c r="A10" s="19" t="n">
        <v>9</v>
      </c>
      <c r="B10">
        <f>B$1*$A10</f>
        <v/>
      </c>
      <c r="C10">
        <f>C$1*$A10</f>
        <v/>
      </c>
      <c r="D10">
        <f>D$1*$A10</f>
        <v/>
      </c>
      <c r="E10">
        <f>E$1*$A10</f>
        <v/>
      </c>
      <c r="F10">
        <f>F$1*$A10</f>
        <v/>
      </c>
      <c r="G10">
        <f>G$1*$A10</f>
        <v/>
      </c>
      <c r="H10">
        <f>H$1*$A10</f>
        <v/>
      </c>
      <c r="I10">
        <f>I$1*$A10</f>
        <v/>
      </c>
      <c r="J10">
        <f>J$1*$A10</f>
        <v/>
      </c>
      <c r="K10" s="21">
        <f>K$1*$A10</f>
        <v/>
      </c>
      <c r="L10">
        <f>SUM(B10:K10)</f>
        <v/>
      </c>
    </row>
    <row r="11" ht="16" customHeight="1" s="25" thickBot="1">
      <c r="A11" s="22" t="n">
        <v>10</v>
      </c>
      <c r="B11" s="23">
        <f>B$1*$A11</f>
        <v/>
      </c>
      <c r="C11" s="23">
        <f>C$1*$A11</f>
        <v/>
      </c>
      <c r="D11" s="23">
        <f>D$1*$A11</f>
        <v/>
      </c>
      <c r="E11" s="23">
        <f>E$1*$A11</f>
        <v/>
      </c>
      <c r="F11" s="23">
        <f>F$1*$A11</f>
        <v/>
      </c>
      <c r="G11" s="23">
        <f>G$1*$A11</f>
        <v/>
      </c>
      <c r="H11" s="23">
        <f>H$1*$A11</f>
        <v/>
      </c>
      <c r="I11" s="23">
        <f>I$1*$A11</f>
        <v/>
      </c>
      <c r="J11" s="23">
        <f>J$1*$A11</f>
        <v/>
      </c>
      <c r="K11" s="24">
        <f>K$1*$A11</f>
        <v/>
      </c>
      <c r="L11">
        <f>SUM(B11:K11)</f>
        <v/>
      </c>
    </row>
    <row r="12">
      <c r="A12" t="inlineStr">
        <is>
          <t>Произведения</t>
        </is>
      </c>
      <c r="B12">
        <f>PRODUCT(B2:B11)</f>
        <v/>
      </c>
      <c r="C12">
        <f>PRODUCT(C2:C11)</f>
        <v/>
      </c>
      <c r="D12">
        <f>PRODUCT(D2:D11)</f>
        <v/>
      </c>
      <c r="E12">
        <f>PRODUCT(E2:E11)</f>
        <v/>
      </c>
      <c r="F12">
        <f>PRODUCT(F2:F11)</f>
        <v/>
      </c>
      <c r="G12">
        <f>PRODUCT(G2:G11)</f>
        <v/>
      </c>
      <c r="H12">
        <f>PRODUCT(H2:H11)</f>
        <v/>
      </c>
      <c r="I12">
        <f>PRODUCT(I2:I11)</f>
        <v/>
      </c>
      <c r="J12">
        <f>PRODUCT(J2:J11)</f>
        <v/>
      </c>
      <c r="K12">
        <f>PRODUCT(K2:K11)</f>
        <v/>
      </c>
    </row>
    <row r="14">
      <c r="B14">
        <f>COUNT(B2:K11)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10" defaultColWidth="8.83203125" defaultRowHeight="15"/>
  <cols>
    <col width="14" customWidth="1" style="25" min="1" max="1"/>
    <col width="16" customWidth="1" style="25" min="2" max="2"/>
    <col width="12" customWidth="1" style="25" min="3" max="3"/>
    <col width="10" customWidth="1" style="25" min="4" max="4"/>
    <col width="12" customWidth="1" style="25" min="5" max="5"/>
  </cols>
  <sheetData>
    <row r="1" ht="20" customHeight="1" s="25">
      <c r="A1" s="1" t="inlineStr">
        <is>
          <t>Таблица pitomcy</t>
        </is>
      </c>
    </row>
    <row r="3" ht="17" customHeight="1" s="25">
      <c r="A3" s="2" t="inlineStr">
        <is>
          <t>id</t>
        </is>
      </c>
      <c r="B3" s="2" t="inlineStr">
        <is>
          <t>klichka</t>
        </is>
      </c>
      <c r="C3" s="2" t="inlineStr">
        <is>
          <t>vid</t>
        </is>
      </c>
      <c r="D3" s="2" t="inlineStr">
        <is>
          <t>vozrast</t>
        </is>
      </c>
      <c r="E3" s="2" t="inlineStr">
        <is>
          <t>hozyain</t>
        </is>
      </c>
    </row>
    <row r="4">
      <c r="A4" s="8" t="inlineStr">
        <is>
          <t>bigint, ключ</t>
        </is>
      </c>
      <c r="B4" s="8" t="inlineStr">
        <is>
          <t>text, not null</t>
        </is>
      </c>
      <c r="C4" s="8" t="inlineStr">
        <is>
          <t>text</t>
        </is>
      </c>
      <c r="D4" s="8" t="inlineStr">
        <is>
          <t>int</t>
        </is>
      </c>
      <c r="E4" s="8" t="inlineStr">
        <is>
          <t>text</t>
        </is>
      </c>
    </row>
    <row r="5" ht="17" customHeight="1" s="25">
      <c r="A5" s="3" t="n">
        <v>1</v>
      </c>
      <c r="B5" s="3" t="inlineStr">
        <is>
          <t>Барсик</t>
        </is>
      </c>
      <c r="C5" s="3" t="inlineStr">
        <is>
          <t>кот</t>
        </is>
      </c>
      <c r="D5" s="3" t="n">
        <v>3</v>
      </c>
      <c r="E5" s="3" t="inlineStr">
        <is>
          <t>Аня</t>
        </is>
      </c>
    </row>
    <row r="6" ht="17" customHeight="1" s="25">
      <c r="A6" s="3" t="n">
        <v>2</v>
      </c>
      <c r="B6" s="3" t="inlineStr">
        <is>
          <t>Рекс</t>
        </is>
      </c>
      <c r="C6" s="3" t="inlineStr">
        <is>
          <t>собака</t>
        </is>
      </c>
      <c r="D6" s="3" t="n">
        <v>5</v>
      </c>
      <c r="E6" s="3" t="inlineStr">
        <is>
          <t>Миша</t>
        </is>
      </c>
    </row>
    <row r="7" ht="17" customHeight="1" s="25">
      <c r="A7" s="3" t="n">
        <v>3</v>
      </c>
      <c r="B7" s="3" t="inlineStr">
        <is>
          <t>Кеша</t>
        </is>
      </c>
      <c r="C7" s="3" t="inlineStr">
        <is>
          <t>попугай</t>
        </is>
      </c>
      <c r="D7" s="3" t="n">
        <v>2</v>
      </c>
      <c r="E7" s="9" t="inlineStr">
        <is>
          <t>NULL</t>
        </is>
      </c>
    </row>
    <row r="8" ht="17" customHeight="1" s="25">
      <c r="A8" s="3" t="n">
        <v>4</v>
      </c>
      <c r="B8" s="3" t="inlineStr">
        <is>
          <t>Мурка</t>
        </is>
      </c>
      <c r="C8" s="3" t="inlineStr">
        <is>
          <t>кошка</t>
        </is>
      </c>
      <c r="D8" s="3" t="n">
        <v>7</v>
      </c>
      <c r="E8" s="3" t="inlineStr">
        <is>
          <t>Аня</t>
        </is>
      </c>
    </row>
    <row r="9" ht="17" customHeight="1" s="25">
      <c r="A9" s="3" t="n">
        <v>5</v>
      </c>
      <c r="B9" s="3" t="inlineStr">
        <is>
          <t>Шарик</t>
        </is>
      </c>
      <c r="C9" s="3" t="inlineStr">
        <is>
          <t>собака</t>
        </is>
      </c>
      <c r="D9" s="3" t="n">
        <v>1</v>
      </c>
      <c r="E9" s="9" t="inlineStr">
        <is>
          <t>NULL</t>
        </is>
      </c>
    </row>
    <row r="10" ht="17" customHeight="1" s="25">
      <c r="A10" s="3" t="n">
        <v>6</v>
      </c>
      <c r="B10" s="3" t="inlineStr">
        <is>
          <t>Граф</t>
        </is>
      </c>
      <c r="C10" s="3" t="inlineStr">
        <is>
          <t>собака</t>
        </is>
      </c>
      <c r="D10" s="3" t="n">
        <v>9</v>
      </c>
      <c r="E10" s="3" t="inlineStr">
        <is>
          <t>Петя</t>
        </is>
      </c>
    </row>
    <row r="12" ht="17" customHeight="1" s="25">
      <c r="A12" s="4" t="inlineStr">
        <is>
          <t>Средний возраст:</t>
        </is>
      </c>
      <c r="D12" s="10">
        <f>AVERAGE(D5:D10)</f>
        <v/>
      </c>
    </row>
    <row r="13" ht="17" customHeight="1" s="25">
      <c r="A13" s="4" t="inlineStr">
        <is>
          <t>Сколько собак:</t>
        </is>
      </c>
      <c r="D13" s="11">
        <f>COUNTIF(C5:C10,"собака")</f>
        <v/>
      </c>
    </row>
    <row r="15">
      <c r="A15" s="12" t="inlineStr">
        <is>
          <t>Жёлтая строка — тип столбца. В базе её нет как строки: тип задан при создании таблицы и проверяется при каждой записи.</t>
        </is>
      </c>
    </row>
    <row r="16">
      <c r="A16" s="12" t="inlineStr">
        <is>
          <t>NULL — «пусто, неизвестно». Телефона здесь нет: он про хозяина, а не про питомца → отдельная таблица (занятие 11).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2026-10-28T13:56:58Z</dcterms:created>
  <dcterms:modified xsi:type="dcterms:W3CDTF">2026-10-28T15:15:37Z</dcterms:modified>
  <cp:lastModifiedBy>Иртуганов Николай Николаевич</cp:lastModifiedBy>
</cp:coreProperties>
</file>